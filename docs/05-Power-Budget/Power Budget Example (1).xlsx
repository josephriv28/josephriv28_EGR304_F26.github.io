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joeyr\OneDrive - Arizona State University\Downloads\"/>
    </mc:Choice>
  </mc:AlternateContent>
  <xr:revisionPtr revIDLastSave="0" documentId="13_ncr:1_{84FCF95F-5D08-46BB-988C-8A170BF5298D}" xr6:coauthVersionLast="47" xr6:coauthVersionMax="47" xr10:uidLastSave="{00000000-0000-0000-0000-000000000000}"/>
  <bookViews>
    <workbookView xWindow="-28920" yWindow="525"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 r="G37" i="1"/>
  <c r="G36" i="1"/>
  <c r="G35" i="1"/>
  <c r="G27" i="1"/>
  <c r="G22" i="1"/>
  <c r="G21" i="1"/>
  <c r="G20" i="1"/>
  <c r="G19" i="1"/>
  <c r="G18" i="1"/>
  <c r="G13" i="1"/>
  <c r="G12" i="1"/>
  <c r="G11" i="1"/>
  <c r="G10" i="1"/>
  <c r="G9" i="1"/>
  <c r="G38" i="1" l="1"/>
  <c r="G23" i="1"/>
  <c r="G25" i="1" s="1"/>
  <c r="G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<sst xmlns="http://schemas.openxmlformats.org/spreadsheetml/2006/main" count="106" uniqueCount="55">
  <si>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</si>
  <si>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</si>
  <si>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</si>
  <si>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</si>
  <si>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</si>
  <si>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</si>
  <si>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</si>
  <si>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</si>
  <si>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</si>
  <si>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</si>
  <si>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</si>
  <si>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</si>
  <si>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</si>
  <si>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</si>
  <si>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</si>
  <si>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</si>
  <si>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</si>
  <si>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</si>
  <si>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</si>
  <si>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 xml:space="preserve"> +5V Regulator</t>
  </si>
  <si>
    <t>LM7805</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</si>
  <si>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</si>
  <si>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</si>
  <si>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</si>
  <si>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</si>
  <si>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</si>
  <si>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</si>
  <si>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</si>
  <si>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</si>
  <si>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</si>
  <si>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 Calculate Battery Life (if applicable).  For each battery, also check the worst-case lifetime of the battery by indicating the capacity in mAh.</t>
  </si>
  <si>
    <t>Capacity
(mAh)</t>
  </si>
  <si>
    <t>Required
By
Regulators</t>
  </si>
  <si>
    <t>Battery Life</t>
  </si>
  <si>
    <t>hours</t>
  </si>
  <si>
    <t>Notes</t>
  </si>
  <si>
    <t>Radiolink</t>
  </si>
  <si>
    <t>Joseph Rivera, Mateo Delgado, Sultan Haidar Ali, William Buckner</t>
  </si>
  <si>
    <t>#1</t>
  </si>
  <si>
    <t>MCP9700A-E/TO</t>
  </si>
  <si>
    <t>MCP6004-I/SL</t>
  </si>
  <si>
    <t>PIC18F57Q43 Curiosity Nano</t>
  </si>
  <si>
    <t>DM164150</t>
  </si>
  <si>
    <t>2.3 - 5.5 V</t>
  </si>
  <si>
    <t>1.8 - 6.0 V</t>
  </si>
  <si>
    <t>1.8 - 5.5 V</t>
  </si>
  <si>
    <t>Temperature Sensor</t>
  </si>
  <si>
    <t>Operational Amplifier</t>
  </si>
  <si>
    <t>C2. Regulator or Source Choice</t>
  </si>
  <si>
    <t>5.0 - 9.0 V</t>
  </si>
  <si>
    <t>N/A</t>
  </si>
  <si>
    <t>7 - 25 VAC</t>
  </si>
  <si>
    <t>100 - 240 VAC</t>
  </si>
  <si>
    <t xml:space="preserve">AlloverPower B07QV8CCJ5 </t>
  </si>
  <si>
    <t>Rivera Power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</si>
</sst>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
      <b/>
      <sz val="12"/>
      <color rgb="FF000000"/>
      <name val="Calibri"/>
      <family val="2"/>
    </font>
    <font>
      <sz val="12"/>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75">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0" fillId="0" borderId="6" xfId="0" applyBorder="1"/>
    <xf numFmtId="0" fontId="6" fillId="0" borderId="0" xfId="0" applyFont="1" applyAlignment="1">
      <alignment horizontal="center"/>
    </xf>
    <xf numFmtId="0" fontId="0" fillId="0" borderId="0" xfId="0" applyAlignment="1">
      <alignment horizontal="center"/>
    </xf>
    <xf numFmtId="0" fontId="0" fillId="0" borderId="7" xfId="0" applyBorder="1"/>
    <xf numFmtId="0" fontId="6" fillId="0" borderId="7" xfId="0" applyFont="1" applyBorder="1"/>
    <xf numFmtId="0" fontId="6" fillId="0" borderId="0" xfId="0" applyFont="1"/>
    <xf numFmtId="49" fontId="6" fillId="0" borderId="0" xfId="0" applyNumberFormat="1" applyFont="1" applyAlignment="1">
      <alignment horizontal="center"/>
    </xf>
    <xf numFmtId="0" fontId="2" fillId="0" borderId="6" xfId="0" applyFont="1" applyBorder="1"/>
    <xf numFmtId="0" fontId="4" fillId="0" borderId="0" xfId="0" applyFont="1" applyAlignment="1">
      <alignment horizontal="center"/>
    </xf>
    <xf numFmtId="0" fontId="2" fillId="0" borderId="7" xfId="0" applyFont="1" applyBorder="1"/>
    <xf numFmtId="0" fontId="5" fillId="3" borderId="8" xfId="0" applyFont="1" applyFill="1" applyBorder="1"/>
    <xf numFmtId="0" fontId="7" fillId="0" borderId="0" xfId="0" applyFont="1" applyAlignment="1">
      <alignment horizontal="right"/>
    </xf>
    <xf numFmtId="0" fontId="7" fillId="0" borderId="6" xfId="0" applyFont="1" applyBorder="1"/>
    <xf numFmtId="0" fontId="5" fillId="0" borderId="6"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4" fillId="0" borderId="6" xfId="0" applyFont="1" applyBorder="1" applyAlignment="1">
      <alignment horizontal="center"/>
    </xf>
    <xf numFmtId="0" fontId="4" fillId="0" borderId="7" xfId="0" applyFont="1" applyBorder="1" applyAlignment="1">
      <alignment horizontal="center"/>
    </xf>
    <xf numFmtId="0" fontId="4" fillId="0" borderId="12" xfId="0" applyFont="1" applyBorder="1" applyAlignment="1">
      <alignment horizontal="center"/>
    </xf>
    <xf numFmtId="0" fontId="7" fillId="2" borderId="1" xfId="0" applyFont="1" applyFill="1" applyBorder="1"/>
    <xf numFmtId="0" fontId="2" fillId="3" borderId="6" xfId="0" applyFont="1" applyFill="1" applyBorder="1"/>
    <xf numFmtId="0" fontId="2" fillId="3" borderId="14" xfId="0" applyFont="1" applyFill="1" applyBorder="1"/>
    <xf numFmtId="0" fontId="4" fillId="3" borderId="15" xfId="0" applyFont="1" applyFill="1" applyBorder="1" applyAlignment="1">
      <alignment horizontal="center"/>
    </xf>
    <xf numFmtId="0" fontId="4" fillId="3" borderId="16" xfId="0" applyFont="1" applyFill="1" applyBorder="1" applyAlignment="1">
      <alignment horizontal="center"/>
    </xf>
    <xf numFmtId="0" fontId="4" fillId="3" borderId="7" xfId="0" applyFont="1" applyFill="1" applyBorder="1" applyAlignment="1">
      <alignment horizontal="center"/>
    </xf>
    <xf numFmtId="0" fontId="2" fillId="3" borderId="7"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3" fillId="0" borderId="10" xfId="0" applyFont="1" applyBorder="1"/>
    <xf numFmtId="0" fontId="5" fillId="0" borderId="9" xfId="0" applyFont="1" applyBorder="1" applyAlignment="1">
      <alignment wrapText="1"/>
    </xf>
    <xf numFmtId="0" fontId="3" fillId="0" borderId="11" xfId="0" applyFont="1" applyBorder="1"/>
    <xf numFmtId="0" fontId="6" fillId="0" borderId="0" xfId="0" applyFont="1" applyAlignment="1">
      <alignment wrapText="1"/>
    </xf>
    <xf numFmtId="0" fontId="8" fillId="4" borderId="0" xfId="0" applyFont="1" applyFill="1" applyAlignment="1">
      <alignment horizontal="left" wrapText="1"/>
    </xf>
    <xf numFmtId="0" fontId="3" fillId="0" borderId="13" xfId="0" applyFont="1" applyBorder="1"/>
    <xf numFmtId="0" fontId="5" fillId="2" borderId="0" xfId="0" applyFont="1" applyFill="1"/>
    <xf numFmtId="0" fontId="3" fillId="0" borderId="1" xfId="0" applyFont="1" applyBorder="1" applyAlignment="1">
      <alignment horizontal="right"/>
    </xf>
    <xf numFmtId="0" fontId="2" fillId="0" borderId="17" xfId="0" applyFont="1" applyBorder="1" applyAlignment="1">
      <alignment horizontal="right"/>
    </xf>
    <xf numFmtId="0" fontId="9" fillId="0" borderId="18" xfId="0" applyFont="1" applyBorder="1" applyAlignment="1">
      <alignment horizontal="right" wrapText="1"/>
    </xf>
    <xf numFmtId="14" fontId="9" fillId="0" borderId="5" xfId="0" applyNumberFormat="1" applyFont="1" applyBorder="1" applyAlignment="1">
      <alignment horizontal="right"/>
    </xf>
    <xf numFmtId="0" fontId="2" fillId="3" borderId="16" xfId="0" applyFont="1" applyFill="1" applyBorder="1" applyAlignment="1">
      <alignment horizontal="center"/>
    </xf>
    <xf numFmtId="0" fontId="10" fillId="0" borderId="18" xfId="0" applyFont="1" applyBorder="1"/>
    <xf numFmtId="0" fontId="0" fillId="0" borderId="18" xfId="0" applyBorder="1"/>
    <xf numFmtId="0" fontId="6" fillId="0" borderId="18" xfId="0" applyFont="1" applyBorder="1" applyAlignment="1">
      <alignment horizontal="center"/>
    </xf>
    <xf numFmtId="0" fontId="0" fillId="0" borderId="18" xfId="0" applyBorder="1" applyAlignment="1">
      <alignment horizontal="center"/>
    </xf>
    <xf numFmtId="0" fontId="6" fillId="0" borderId="18" xfId="0" applyFont="1" applyBorder="1"/>
    <xf numFmtId="0" fontId="10" fillId="0" borderId="18" xfId="0" applyFont="1" applyBorder="1" applyAlignment="1">
      <alignment horizontal="center"/>
    </xf>
    <xf numFmtId="0" fontId="4" fillId="3" borderId="17" xfId="0" applyFont="1" applyFill="1" applyBorder="1" applyAlignment="1">
      <alignment horizontal="center"/>
    </xf>
    <xf numFmtId="0" fontId="5" fillId="2" borderId="9" xfId="0" applyFont="1" applyFill="1" applyBorder="1" applyAlignment="1">
      <alignment wrapText="1"/>
    </xf>
    <xf numFmtId="0" fontId="5" fillId="0" borderId="18" xfId="0" applyFont="1" applyBorder="1" applyAlignment="1">
      <alignment horizontal="left"/>
    </xf>
    <xf numFmtId="0" fontId="6" fillId="0" borderId="18" xfId="0" applyFont="1" applyBorder="1" applyAlignment="1">
      <alignment horizontal="left"/>
    </xf>
    <xf numFmtId="0" fontId="6" fillId="0" borderId="18" xfId="0" applyFont="1" applyBorder="1" applyAlignment="1">
      <alignment horizontal="right"/>
    </xf>
    <xf numFmtId="0" fontId="0" fillId="0" borderId="18" xfId="0" applyBorder="1" applyAlignment="1">
      <alignment horizontal="right"/>
    </xf>
    <xf numFmtId="49" fontId="5" fillId="0" borderId="18" xfId="0" applyNumberFormat="1" applyFont="1" applyBorder="1" applyAlignment="1">
      <alignment horizontal="right"/>
    </xf>
    <xf numFmtId="0" fontId="3" fillId="0" borderId="18" xfId="0" applyFont="1" applyBorder="1"/>
    <xf numFmtId="0" fontId="7" fillId="0" borderId="18" xfId="0" applyFont="1" applyBorder="1" applyAlignment="1">
      <alignment horizontal="right"/>
    </xf>
    <xf numFmtId="0" fontId="0" fillId="0" borderId="18" xfId="0" applyBorder="1"/>
    <xf numFmtId="9" fontId="0" fillId="0" borderId="18" xfId="0" applyNumberFormat="1" applyBorder="1"/>
    <xf numFmtId="0" fontId="5" fillId="0" borderId="18" xfId="0" applyFont="1" applyBorder="1" applyAlignment="1">
      <alignment horizontal="right"/>
    </xf>
    <xf numFmtId="0" fontId="5" fillId="3" borderId="19" xfId="0" applyFont="1" applyFill="1" applyBorder="1"/>
    <xf numFmtId="0" fontId="4" fillId="3" borderId="16" xfId="0" applyFont="1" applyFill="1" applyBorder="1" applyAlignment="1">
      <alignment horizontal="center" wrapText="1"/>
    </xf>
    <xf numFmtId="0" fontId="4" fillId="0" borderId="18" xfId="0" applyFont="1" applyBorder="1" applyAlignment="1">
      <alignment horizontal="left"/>
    </xf>
    <xf numFmtId="0" fontId="6" fillId="0" borderId="18" xfId="0" applyFont="1" applyBorder="1" applyAlignment="1">
      <alignment horizontal="center" wrapText="1"/>
    </xf>
    <xf numFmtId="0" fontId="4" fillId="0" borderId="18" xfId="0" applyFont="1" applyBorder="1" applyAlignment="1">
      <alignment horizontal="center"/>
    </xf>
    <xf numFmtId="0" fontId="4" fillId="0" borderId="18" xfId="0" applyFont="1" applyBorder="1" applyAlignment="1">
      <alignment horizontal="left" vertical="center"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6"/>
  <sheetViews>
    <sheetView tabSelected="1" topLeftCell="A19" zoomScale="106" workbookViewId="0">
      <selection activeCell="A33" sqref="A33:H38"/>
    </sheetView>
  </sheetViews>
  <sheetFormatPr defaultColWidth="13.5" defaultRowHeight="15.75" customHeight="1" x14ac:dyDescent="0.25"/>
  <cols>
    <col min="1" max="1" width="40.5" customWidth="1"/>
    <col min="2" max="2" width="29.25" customWidth="1"/>
    <col min="3" max="3" width="20.125" customWidth="1"/>
    <col min="4" max="4" width="35.875" customWidth="1"/>
    <col min="5" max="5" width="12" customWidth="1"/>
    <col min="6" max="6" width="39.75" customWidth="1"/>
    <col min="7" max="7" width="25" customWidth="1"/>
    <col min="8" max="8" width="9" customWidth="1"/>
  </cols>
  <sheetData>
    <row r="1" spans="1:8" ht="30" customHeight="1" x14ac:dyDescent="0.5">
      <c r="A1" s="34" t="s">
        <v>54</v>
      </c>
      <c r="B1" s="35"/>
      <c r="C1" s="35"/>
      <c r="D1" s="35"/>
      <c r="E1" s="35"/>
      <c r="F1" s="35"/>
      <c r="G1" s="35"/>
      <c r="H1" s="35"/>
    </row>
    <row r="2" spans="1:8" ht="15" customHeight="1" x14ac:dyDescent="0.25">
      <c r="A2" s="1" t="s">
        <v>0</v>
      </c>
      <c r="B2" s="46">
        <v>105</v>
      </c>
      <c r="D2" s="2"/>
      <c r="E2" s="2"/>
    </row>
    <row r="3" spans="1:8" ht="15" customHeight="1" x14ac:dyDescent="0.25">
      <c r="A3" s="3" t="s">
        <v>1</v>
      </c>
      <c r="B3" s="47" t="s">
        <v>36</v>
      </c>
      <c r="C3" s="4"/>
      <c r="D3" s="2"/>
      <c r="E3" s="2"/>
      <c r="F3" s="4"/>
      <c r="G3" s="4"/>
      <c r="H3" s="4"/>
    </row>
    <row r="4" spans="1:8" ht="47.25" customHeight="1" x14ac:dyDescent="0.25">
      <c r="A4" s="3" t="s">
        <v>2</v>
      </c>
      <c r="B4" s="48" t="s">
        <v>37</v>
      </c>
      <c r="C4" s="4"/>
      <c r="D4" s="2"/>
      <c r="E4" s="2"/>
      <c r="F4" s="4"/>
      <c r="G4" s="4"/>
      <c r="H4" s="4"/>
    </row>
    <row r="5" spans="1:8" ht="15" customHeight="1" x14ac:dyDescent="0.25">
      <c r="A5" s="3" t="s">
        <v>3</v>
      </c>
      <c r="B5" s="49" t="s">
        <v>38</v>
      </c>
      <c r="C5" s="4"/>
      <c r="D5" s="2"/>
      <c r="E5" s="2"/>
      <c r="F5" s="4"/>
      <c r="G5" s="4"/>
      <c r="H5" s="4"/>
    </row>
    <row r="6" spans="1:8" ht="15" customHeight="1" x14ac:dyDescent="0.25">
      <c r="A6" s="5"/>
      <c r="B6" s="4"/>
      <c r="C6" s="4"/>
      <c r="D6" s="2"/>
      <c r="E6" s="2"/>
      <c r="F6" s="4"/>
      <c r="G6" s="4"/>
      <c r="H6" s="4"/>
    </row>
    <row r="7" spans="1:8" ht="15" customHeight="1" x14ac:dyDescent="0.25">
      <c r="A7" s="36" t="s">
        <v>4</v>
      </c>
      <c r="B7" s="37"/>
      <c r="C7" s="37"/>
      <c r="D7" s="37"/>
      <c r="E7" s="37"/>
      <c r="F7" s="37"/>
      <c r="G7" s="37"/>
      <c r="H7" s="38"/>
    </row>
    <row r="8" spans="1:8" ht="15" customHeight="1" x14ac:dyDescent="0.25">
      <c r="A8" s="6" t="s">
        <v>5</v>
      </c>
      <c r="B8" s="50" t="s">
        <v>6</v>
      </c>
      <c r="C8" s="50" t="s">
        <v>7</v>
      </c>
      <c r="D8" s="30" t="s">
        <v>8</v>
      </c>
      <c r="E8" s="30" t="s">
        <v>9</v>
      </c>
      <c r="F8" s="30" t="s">
        <v>10</v>
      </c>
      <c r="G8" s="31" t="s">
        <v>11</v>
      </c>
      <c r="H8" s="31" t="s">
        <v>12</v>
      </c>
    </row>
    <row r="9" spans="1:8" ht="15" customHeight="1" x14ac:dyDescent="0.25">
      <c r="A9" s="7"/>
      <c r="B9" s="51" t="s">
        <v>46</v>
      </c>
      <c r="C9" s="52" t="s">
        <v>39</v>
      </c>
      <c r="D9" s="53" t="s">
        <v>43</v>
      </c>
      <c r="E9" s="54">
        <v>1</v>
      </c>
      <c r="F9" s="52">
        <v>1.2E-2</v>
      </c>
      <c r="G9" s="52">
        <f t="shared" ref="G9:G13" si="0">E9*F9</f>
        <v>1.2E-2</v>
      </c>
      <c r="H9" s="55" t="s">
        <v>13</v>
      </c>
    </row>
    <row r="10" spans="1:8" ht="15" customHeight="1" x14ac:dyDescent="0.25">
      <c r="A10" s="7"/>
      <c r="B10" s="51" t="s">
        <v>47</v>
      </c>
      <c r="C10" s="52" t="s">
        <v>40</v>
      </c>
      <c r="D10" s="53" t="s">
        <v>44</v>
      </c>
      <c r="E10" s="54">
        <v>1</v>
      </c>
      <c r="F10" s="52">
        <v>0.68</v>
      </c>
      <c r="G10" s="52">
        <f t="shared" si="0"/>
        <v>0.68</v>
      </c>
      <c r="H10" s="55" t="s">
        <v>13</v>
      </c>
    </row>
    <row r="11" spans="1:8" ht="15" customHeight="1" x14ac:dyDescent="0.25">
      <c r="A11" s="7"/>
      <c r="B11" s="51" t="s">
        <v>41</v>
      </c>
      <c r="C11" s="51" t="s">
        <v>42</v>
      </c>
      <c r="D11" s="56" t="s">
        <v>45</v>
      </c>
      <c r="E11" s="54">
        <v>1</v>
      </c>
      <c r="F11" s="52">
        <v>25</v>
      </c>
      <c r="G11" s="52">
        <f t="shared" si="0"/>
        <v>25</v>
      </c>
      <c r="H11" s="55" t="s">
        <v>13</v>
      </c>
    </row>
    <row r="12" spans="1:8" ht="15" customHeight="1" x14ac:dyDescent="0.25">
      <c r="A12" s="7"/>
      <c r="B12" s="12"/>
      <c r="C12" s="12"/>
      <c r="D12" s="13"/>
      <c r="E12" s="8"/>
      <c r="F12" s="12"/>
      <c r="G12" s="52">
        <f t="shared" si="0"/>
        <v>0</v>
      </c>
      <c r="H12" s="55" t="s">
        <v>13</v>
      </c>
    </row>
    <row r="13" spans="1:8" ht="15" customHeight="1" x14ac:dyDescent="0.25">
      <c r="A13" s="7"/>
      <c r="C13" s="12"/>
      <c r="D13" s="8"/>
      <c r="E13" s="9"/>
      <c r="G13" s="52">
        <f t="shared" si="0"/>
        <v>0</v>
      </c>
      <c r="H13" s="55" t="s">
        <v>13</v>
      </c>
    </row>
    <row r="14" spans="1:8" ht="15" customHeight="1" x14ac:dyDescent="0.25">
      <c r="A14" s="7"/>
      <c r="B14" s="12"/>
      <c r="D14" s="8"/>
      <c r="E14" s="9"/>
      <c r="G14" s="52">
        <f>SUM(G8:G13)</f>
        <v>25.692</v>
      </c>
      <c r="H14" s="55" t="s">
        <v>13</v>
      </c>
    </row>
    <row r="15" spans="1:8" ht="15" customHeight="1" x14ac:dyDescent="0.25">
      <c r="A15" s="14"/>
      <c r="B15" s="5"/>
      <c r="C15" s="4"/>
      <c r="D15" s="15"/>
      <c r="E15" s="2"/>
      <c r="F15" s="4"/>
      <c r="G15" s="16"/>
      <c r="H15" s="16"/>
    </row>
    <row r="16" spans="1:8" ht="15" customHeight="1" x14ac:dyDescent="0.25">
      <c r="A16" s="36" t="s">
        <v>14</v>
      </c>
      <c r="B16" s="37"/>
      <c r="C16" s="37"/>
      <c r="D16" s="37"/>
      <c r="E16" s="37"/>
      <c r="F16" s="37"/>
      <c r="G16" s="37"/>
      <c r="H16" s="38"/>
    </row>
    <row r="17" spans="1:8" ht="15" customHeight="1" x14ac:dyDescent="0.25">
      <c r="A17" s="17" t="s">
        <v>17</v>
      </c>
      <c r="B17" s="50" t="s">
        <v>6</v>
      </c>
      <c r="C17" s="50" t="s">
        <v>7</v>
      </c>
      <c r="D17" s="30" t="s">
        <v>8</v>
      </c>
      <c r="E17" s="30" t="s">
        <v>9</v>
      </c>
      <c r="F17" s="30" t="s">
        <v>10</v>
      </c>
      <c r="G17" s="57" t="s">
        <v>11</v>
      </c>
      <c r="H17" s="57" t="s">
        <v>12</v>
      </c>
    </row>
    <row r="18" spans="1:8" ht="15" customHeight="1" x14ac:dyDescent="0.25">
      <c r="A18" s="7"/>
      <c r="B18" s="51" t="s">
        <v>46</v>
      </c>
      <c r="C18" s="52" t="s">
        <v>39</v>
      </c>
      <c r="D18" s="53" t="s">
        <v>43</v>
      </c>
      <c r="E18" s="54">
        <v>1</v>
      </c>
      <c r="F18" s="52">
        <v>1.2E-2</v>
      </c>
      <c r="G18" s="52">
        <f t="shared" ref="G18:G22" si="1">E18*F18</f>
        <v>1.2E-2</v>
      </c>
      <c r="H18" s="55" t="s">
        <v>13</v>
      </c>
    </row>
    <row r="19" spans="1:8" ht="15" customHeight="1" x14ac:dyDescent="0.25">
      <c r="A19" s="7"/>
      <c r="B19" s="51" t="s">
        <v>47</v>
      </c>
      <c r="C19" s="52" t="s">
        <v>40</v>
      </c>
      <c r="D19" s="53" t="s">
        <v>44</v>
      </c>
      <c r="E19" s="54">
        <v>1</v>
      </c>
      <c r="F19" s="52">
        <v>0.68</v>
      </c>
      <c r="G19" s="52">
        <f t="shared" si="1"/>
        <v>0.68</v>
      </c>
      <c r="H19" s="55" t="s">
        <v>13</v>
      </c>
    </row>
    <row r="20" spans="1:8" ht="15" customHeight="1" x14ac:dyDescent="0.25">
      <c r="A20" s="7"/>
      <c r="B20" s="51" t="s">
        <v>41</v>
      </c>
      <c r="C20" s="51" t="s">
        <v>42</v>
      </c>
      <c r="D20" s="56" t="s">
        <v>45</v>
      </c>
      <c r="E20" s="54">
        <v>1</v>
      </c>
      <c r="F20" s="52">
        <v>25</v>
      </c>
      <c r="G20" s="52">
        <f t="shared" si="1"/>
        <v>25</v>
      </c>
      <c r="H20" s="55" t="s">
        <v>13</v>
      </c>
    </row>
    <row r="21" spans="1:8" ht="15" customHeight="1" x14ac:dyDescent="0.25">
      <c r="A21" s="7"/>
      <c r="D21" s="9"/>
      <c r="E21" s="9"/>
      <c r="G21" s="52">
        <f t="shared" si="1"/>
        <v>0</v>
      </c>
      <c r="H21" s="55" t="s">
        <v>13</v>
      </c>
    </row>
    <row r="22" spans="1:8" ht="15" customHeight="1" x14ac:dyDescent="0.25">
      <c r="A22" s="7"/>
      <c r="D22" s="9"/>
      <c r="E22" s="9"/>
      <c r="G22" s="52">
        <f t="shared" si="1"/>
        <v>0</v>
      </c>
      <c r="H22" s="55" t="s">
        <v>13</v>
      </c>
    </row>
    <row r="23" spans="1:8" ht="15" customHeight="1" x14ac:dyDescent="0.25">
      <c r="A23" s="7"/>
      <c r="B23" s="65" t="s">
        <v>15</v>
      </c>
      <c r="C23" s="66"/>
      <c r="D23" s="66"/>
      <c r="E23" s="66"/>
      <c r="F23" s="66"/>
      <c r="G23" s="52">
        <f>SUM(G18:G22)</f>
        <v>25.692</v>
      </c>
      <c r="H23" s="55" t="s">
        <v>13</v>
      </c>
    </row>
    <row r="24" spans="1:8" ht="15" customHeight="1" x14ac:dyDescent="0.25">
      <c r="A24" s="7"/>
      <c r="B24" s="65" t="s">
        <v>16</v>
      </c>
      <c r="C24" s="66"/>
      <c r="D24" s="66"/>
      <c r="E24" s="66"/>
      <c r="F24" s="66"/>
      <c r="G24" s="67">
        <v>0.25</v>
      </c>
      <c r="H24" s="67"/>
    </row>
    <row r="25" spans="1:8" ht="15" customHeight="1" x14ac:dyDescent="0.25">
      <c r="A25" s="19"/>
      <c r="B25" s="68" t="s">
        <v>18</v>
      </c>
      <c r="C25" s="66"/>
      <c r="D25" s="66"/>
      <c r="E25" s="66"/>
      <c r="F25" s="66"/>
      <c r="G25" s="52">
        <f>G23*(1+G24)</f>
        <v>32.115000000000002</v>
      </c>
      <c r="H25" s="55" t="s">
        <v>13</v>
      </c>
    </row>
    <row r="26" spans="1:8" ht="15" customHeight="1" x14ac:dyDescent="0.25">
      <c r="A26" s="20"/>
      <c r="B26" s="21"/>
      <c r="C26" s="21"/>
      <c r="D26" s="8"/>
      <c r="E26" s="8"/>
      <c r="F26" s="22"/>
      <c r="G26" s="62"/>
      <c r="H26" s="52"/>
    </row>
    <row r="27" spans="1:8" ht="15" customHeight="1" x14ac:dyDescent="0.25">
      <c r="A27" s="59" t="s">
        <v>48</v>
      </c>
      <c r="B27" s="60" t="s">
        <v>19</v>
      </c>
      <c r="C27" s="60" t="s">
        <v>20</v>
      </c>
      <c r="D27" s="53" t="s">
        <v>49</v>
      </c>
      <c r="E27" s="53">
        <v>1</v>
      </c>
      <c r="F27" s="61">
        <v>1500</v>
      </c>
      <c r="G27" s="62">
        <f>E27*F27</f>
        <v>1500</v>
      </c>
      <c r="H27" s="55" t="s">
        <v>13</v>
      </c>
    </row>
    <row r="28" spans="1:8" ht="15" customHeight="1" x14ac:dyDescent="0.25">
      <c r="A28" s="59"/>
      <c r="B28" s="63" t="s">
        <v>21</v>
      </c>
      <c r="C28" s="64"/>
      <c r="D28" s="64"/>
      <c r="E28" s="64"/>
      <c r="F28" s="64"/>
      <c r="G28" s="62">
        <f>G27-G25</f>
        <v>1467.885</v>
      </c>
      <c r="H28" s="55" t="s">
        <v>13</v>
      </c>
    </row>
    <row r="29" spans="1:8" ht="15" customHeight="1" x14ac:dyDescent="0.25">
      <c r="A29" s="58" t="s">
        <v>22</v>
      </c>
      <c r="B29" s="39"/>
      <c r="C29" s="39"/>
      <c r="D29" s="39"/>
      <c r="E29" s="39"/>
      <c r="F29" s="39"/>
      <c r="G29" s="39"/>
      <c r="H29" s="41"/>
    </row>
    <row r="30" spans="1:8" ht="15" customHeight="1" x14ac:dyDescent="0.25">
      <c r="A30" s="40"/>
      <c r="B30" s="39"/>
      <c r="C30" s="39"/>
      <c r="D30" s="39"/>
      <c r="E30" s="39"/>
      <c r="F30" s="39"/>
      <c r="G30" s="39"/>
      <c r="H30" s="41"/>
    </row>
    <row r="31" spans="1:8" ht="15" customHeight="1" x14ac:dyDescent="0.25">
      <c r="A31" s="36" t="s">
        <v>23</v>
      </c>
      <c r="B31" s="37"/>
      <c r="C31" s="37"/>
      <c r="D31" s="37"/>
      <c r="E31" s="37"/>
      <c r="F31" s="37"/>
      <c r="G31" s="37"/>
      <c r="H31" s="38"/>
    </row>
    <row r="32" spans="1:8" ht="15" customHeight="1" x14ac:dyDescent="0.25">
      <c r="A32" s="69" t="s">
        <v>24</v>
      </c>
      <c r="B32" s="50" t="s">
        <v>6</v>
      </c>
      <c r="C32" s="50" t="s">
        <v>7</v>
      </c>
      <c r="D32" s="30" t="s">
        <v>8</v>
      </c>
      <c r="E32" s="70" t="s">
        <v>25</v>
      </c>
      <c r="F32" s="30" t="s">
        <v>10</v>
      </c>
      <c r="G32" s="57" t="s">
        <v>11</v>
      </c>
      <c r="H32" s="57" t="s">
        <v>12</v>
      </c>
    </row>
    <row r="33" spans="1:8" ht="32.25" customHeight="1" x14ac:dyDescent="0.25">
      <c r="A33" s="71" t="s">
        <v>26</v>
      </c>
      <c r="B33" s="60" t="s">
        <v>27</v>
      </c>
      <c r="C33" s="72" t="s">
        <v>53</v>
      </c>
      <c r="D33" s="53" t="s">
        <v>52</v>
      </c>
      <c r="E33" s="53">
        <v>9</v>
      </c>
      <c r="F33" s="61">
        <v>3000</v>
      </c>
      <c r="G33" s="61">
        <v>3000</v>
      </c>
      <c r="H33" s="60" t="s">
        <v>13</v>
      </c>
    </row>
    <row r="34" spans="1:8" ht="15" customHeight="1" x14ac:dyDescent="0.25">
      <c r="A34" s="73"/>
      <c r="B34" s="60"/>
      <c r="C34" s="60"/>
      <c r="D34" s="53"/>
      <c r="E34" s="53"/>
      <c r="F34" s="61"/>
      <c r="G34" s="62"/>
      <c r="H34" s="55"/>
    </row>
    <row r="35" spans="1:8" ht="15" customHeight="1" x14ac:dyDescent="0.25">
      <c r="A35" s="74" t="s">
        <v>28</v>
      </c>
      <c r="B35" s="60"/>
      <c r="C35" s="60"/>
      <c r="D35" s="53"/>
      <c r="E35" s="53"/>
      <c r="F35" s="61"/>
      <c r="G35" s="62">
        <f>E35*F35</f>
        <v>0</v>
      </c>
      <c r="H35" s="55" t="s">
        <v>13</v>
      </c>
    </row>
    <row r="36" spans="1:8" ht="15" customHeight="1" x14ac:dyDescent="0.25">
      <c r="A36" s="64"/>
      <c r="B36" s="60" t="s">
        <v>19</v>
      </c>
      <c r="C36" s="60" t="s">
        <v>20</v>
      </c>
      <c r="D36" s="53" t="s">
        <v>51</v>
      </c>
      <c r="E36" s="53">
        <v>1</v>
      </c>
      <c r="F36" s="61">
        <v>1500</v>
      </c>
      <c r="G36" s="62">
        <f>E36*F36</f>
        <v>1500</v>
      </c>
      <c r="H36" s="55" t="s">
        <v>13</v>
      </c>
    </row>
    <row r="37" spans="1:8" ht="15" customHeight="1" x14ac:dyDescent="0.25">
      <c r="A37" s="64"/>
      <c r="B37" s="55"/>
      <c r="C37" s="52"/>
      <c r="D37" s="53"/>
      <c r="E37" s="54"/>
      <c r="F37" s="52"/>
      <c r="G37" s="52">
        <f t="shared" ref="G37" si="2">E37*F37</f>
        <v>0</v>
      </c>
      <c r="H37" s="55" t="s">
        <v>13</v>
      </c>
    </row>
    <row r="38" spans="1:8" ht="15" customHeight="1" x14ac:dyDescent="0.25">
      <c r="A38" s="73"/>
      <c r="B38" s="63" t="s">
        <v>29</v>
      </c>
      <c r="C38" s="66"/>
      <c r="D38" s="66"/>
      <c r="E38" s="66"/>
      <c r="F38" s="66"/>
      <c r="G38" s="61">
        <f>G33-SUM(G35:G37)</f>
        <v>1500</v>
      </c>
      <c r="H38" s="60" t="s">
        <v>13</v>
      </c>
    </row>
    <row r="39" spans="1:8" ht="15" customHeight="1" x14ac:dyDescent="0.25">
      <c r="A39" s="23"/>
      <c r="B39" s="2"/>
      <c r="C39" s="2"/>
      <c r="D39" s="15"/>
      <c r="E39" s="15"/>
      <c r="F39" s="15"/>
      <c r="G39" s="24"/>
      <c r="H39" s="25"/>
    </row>
    <row r="40" spans="1:8" ht="15" customHeight="1" x14ac:dyDescent="0.25">
      <c r="A40" s="36" t="s">
        <v>30</v>
      </c>
      <c r="B40" s="37"/>
      <c r="C40" s="37"/>
      <c r="D40" s="37"/>
      <c r="E40" s="37"/>
      <c r="F40" s="44"/>
      <c r="G40" s="26"/>
      <c r="H40" s="26"/>
    </row>
    <row r="41" spans="1:8" ht="15" customHeight="1" x14ac:dyDescent="0.25">
      <c r="A41" s="27"/>
      <c r="B41" s="28" t="s">
        <v>6</v>
      </c>
      <c r="C41" s="28" t="s">
        <v>7</v>
      </c>
      <c r="D41" s="29" t="s">
        <v>8</v>
      </c>
      <c r="E41" s="29"/>
      <c r="F41" s="30" t="s">
        <v>31</v>
      </c>
      <c r="G41" s="31" t="s">
        <v>32</v>
      </c>
      <c r="H41" s="32"/>
    </row>
    <row r="42" spans="1:8" ht="15" customHeight="1" x14ac:dyDescent="0.25">
      <c r="A42" s="7"/>
      <c r="B42" t="s">
        <v>50</v>
      </c>
      <c r="C42" t="s">
        <v>50</v>
      </c>
      <c r="D42" t="s">
        <v>50</v>
      </c>
      <c r="E42" s="9"/>
      <c r="F42" t="s">
        <v>50</v>
      </c>
      <c r="G42" t="s">
        <v>50</v>
      </c>
      <c r="H42" s="10"/>
    </row>
    <row r="43" spans="1:8" ht="15" customHeight="1" x14ac:dyDescent="0.25">
      <c r="A43" s="7"/>
      <c r="D43" s="9"/>
      <c r="E43" s="9"/>
      <c r="F43" s="18" t="s">
        <v>33</v>
      </c>
      <c r="G43" t="s">
        <v>50</v>
      </c>
      <c r="H43" s="11" t="s">
        <v>34</v>
      </c>
    </row>
    <row r="44" spans="1:8" ht="15" customHeight="1" x14ac:dyDescent="0.25">
      <c r="A44" s="45" t="s">
        <v>35</v>
      </c>
      <c r="B44" s="35"/>
      <c r="C44" s="35"/>
      <c r="D44" s="35"/>
      <c r="E44" s="35"/>
      <c r="F44" s="35"/>
      <c r="G44" s="33"/>
      <c r="H44" s="33"/>
    </row>
    <row r="45" spans="1:8" ht="15" customHeight="1" x14ac:dyDescent="0.25">
      <c r="A45" s="42"/>
      <c r="B45" s="35"/>
      <c r="C45" s="35"/>
      <c r="D45" s="35"/>
      <c r="E45" s="35"/>
      <c r="F45" s="35"/>
      <c r="G45" s="35"/>
      <c r="H45" s="35"/>
    </row>
    <row r="46" spans="1:8" ht="15" customHeight="1" x14ac:dyDescent="0.25">
      <c r="A46" s="43"/>
      <c r="B46" s="35"/>
      <c r="C46" s="35"/>
      <c r="D46" s="35"/>
      <c r="E46" s="35"/>
      <c r="F46" s="35"/>
      <c r="G46" s="35"/>
      <c r="H46" s="35"/>
    </row>
  </sheetData>
  <mergeCells count="16">
    <mergeCell ref="A30:H30"/>
    <mergeCell ref="A45:H45"/>
    <mergeCell ref="A46:H46"/>
    <mergeCell ref="A31:H31"/>
    <mergeCell ref="A35:A37"/>
    <mergeCell ref="B38:F38"/>
    <mergeCell ref="A40:F40"/>
    <mergeCell ref="A44:F44"/>
    <mergeCell ref="A29:H29"/>
    <mergeCell ref="B28:F28"/>
    <mergeCell ref="B23:F23"/>
    <mergeCell ref="B24:F24"/>
    <mergeCell ref="B25:F25"/>
    <mergeCell ref="A1:H1"/>
    <mergeCell ref="A7:H7"/>
    <mergeCell ref="A16:H16"/>
  </mergeCells>
  <conditionalFormatting sqref="G28">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Rivera (Student)</cp:lastModifiedBy>
  <dcterms:modified xsi:type="dcterms:W3CDTF">2026-10-26T08:41:22Z</dcterms:modified>
</cp:coreProperties>
</file>